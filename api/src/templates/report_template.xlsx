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lamadas Entrantes" sheetId="1" state="visible" r:id="rId1"/>
    <sheet xmlns:r="http://schemas.openxmlformats.org/officeDocument/2006/relationships" name="Llamadas Salientes" sheetId="2" state="visible" r:id="rId2"/>
    <sheet xmlns:r="http://schemas.openxmlformats.org/officeDocument/2006/relationships" name="Llamadas Internas" sheetId="3" state="visible" r:id="rId3"/>
    <sheet xmlns:r="http://schemas.openxmlformats.org/officeDocument/2006/relationships" name="Registros de Llama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b val="1"/>
      <sz val="11"/>
    </font>
    <font>
      <name val="Arial"/>
      <sz val="10"/>
    </font>
    <font>
      <name val="Arial"/>
      <b val="1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C3002F"/>
        <bgColor rgb="00C3002F"/>
      </patternFill>
    </fill>
    <fill>
      <patternFill patternType="solid">
        <fgColor rgb="004A4A4A"/>
        <bgColor rgb="004A4A4A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5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Llamadas Llamadas Entrantes</a:t>
            </a:r>
          </a:p>
        </rich>
      </tx>
    </title>
    <plotArea>
      <pieChart>
        <varyColors val="1"/>
        <ser>
          <idx val="0"/>
          <order val="0"/>
          <tx>
            <strRef>
              <f>'Llamadas Entrantes'!B9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'Llamadas Entrantes'!$A$10:$A$13</f>
            </numRef>
          </cat>
          <val>
            <numRef>
              <f>'Llamadas Entrantes'!$B$10:$B$13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Llamadas Llamadas Salientes</a:t>
            </a:r>
          </a:p>
        </rich>
      </tx>
    </title>
    <plotArea>
      <pieChart>
        <varyColors val="1"/>
        <ser>
          <idx val="0"/>
          <order val="0"/>
          <tx>
            <strRef>
              <f>'Llamadas Salientes'!B9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'Llamadas Salientes'!$A$10:$A$13</f>
            </numRef>
          </cat>
          <val>
            <numRef>
              <f>'Llamadas Salientes'!$B$10:$B$13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Llamadas Llamadas Internas</a:t>
            </a:r>
          </a:p>
        </rich>
      </tx>
    </title>
    <plotArea>
      <pieChart>
        <varyColors val="1"/>
        <ser>
          <idx val="0"/>
          <order val="0"/>
          <tx>
            <strRef>
              <f>'Llamadas Internas'!B9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'Llamadas Internas'!$A$10:$A$13</f>
            </numRef>
          </cat>
          <val>
            <numRef>
              <f>'Llamadas Internas'!$B$10:$B$13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5" customWidth="1" min="3" max="3"/>
  </cols>
  <sheetData>
    <row r="1" ht="40" customHeight="1">
      <c r="A1" s="1" t="inlineStr">
        <is>
          <t>REPORTE DE LLAMADAS ENTRANTES</t>
        </is>
      </c>
    </row>
    <row r="3">
      <c r="A3" s="2" t="inlineStr">
        <is>
          <t>Filtros Aplicados:</t>
        </is>
      </c>
    </row>
    <row r="4">
      <c r="A4" s="3" t="inlineStr">
        <is>
          <t>Rango de Fecha:</t>
        </is>
      </c>
      <c r="B4" s="4" t="inlineStr"/>
    </row>
    <row r="5">
      <c r="A5" s="3" t="inlineStr">
        <is>
          <t>Línea / Extensión:</t>
        </is>
      </c>
      <c r="B5" s="4" t="inlineStr"/>
    </row>
    <row r="6">
      <c r="A6" s="3" t="inlineStr">
        <is>
          <t>Total Registros (Tipo):</t>
        </is>
      </c>
      <c r="B6" s="4">
        <f>COUNTIF('Registros de Llamadas'!I2:I10000, "Entrante")</f>
        <v/>
      </c>
    </row>
    <row r="8">
      <c r="A8" s="5" t="inlineStr">
        <is>
          <t>Métrica</t>
        </is>
      </c>
      <c r="B8" s="5" t="inlineStr">
        <is>
          <t>Valor</t>
        </is>
      </c>
    </row>
    <row r="9">
      <c r="A9" s="6" t="inlineStr">
        <is>
          <t>Total Llamadas</t>
        </is>
      </c>
      <c r="B9" s="6">
        <f>COUNTIF('Registros de Llamadas'!I2:I10000, "Entrante")</f>
        <v/>
      </c>
    </row>
    <row r="10">
      <c r="A10" s="7" t="inlineStr">
        <is>
          <t>Contestadas (ANSWERED)</t>
        </is>
      </c>
      <c r="B10" s="7">
        <f>COUNTIFS('Registros de Llamadas'!H2:H10000, "ANSWERED", 'Registros de Llamadas'!I2:I10000, "Entrante")</f>
        <v/>
      </c>
    </row>
    <row r="11">
      <c r="A11" s="6" t="inlineStr">
        <is>
          <t>No Contestadas (NO ANSWER)</t>
        </is>
      </c>
      <c r="B11" s="6">
        <f>COUNTIFS('Registros de Llamadas'!H2:H10000, "NO ANSWER", 'Registros de Llamadas'!I2:I10000, "Entrante")</f>
        <v/>
      </c>
    </row>
    <row r="12">
      <c r="A12" s="7" t="inlineStr">
        <is>
          <t>Ocupadas (BUSY)</t>
        </is>
      </c>
      <c r="B12" s="7">
        <f>COUNTIFS('Registros de Llamadas'!H2:H10000, "BUSY", 'Registros de Llamadas'!I2:I10000, "Entrante")</f>
        <v/>
      </c>
    </row>
    <row r="13">
      <c r="A13" s="6" t="inlineStr">
        <is>
          <t>Fallidas (FAILED)</t>
        </is>
      </c>
      <c r="B13" s="6">
        <f>COUNTIFS('Registros de Llamadas'!H2:H10000, "FAILED", 'Registros de Llamadas'!I2:I10000, "Entrante")</f>
        <v/>
      </c>
    </row>
    <row r="14">
      <c r="A14" s="7" t="inlineStr">
        <is>
          <t>Porcentaje de Efectividad</t>
        </is>
      </c>
      <c r="B14" s="8">
        <f>IF(B9&gt;0, B10/B9, 0)</f>
        <v/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5" customWidth="1" min="3" max="3"/>
  </cols>
  <sheetData>
    <row r="1" ht="40" customHeight="1">
      <c r="A1" s="1" t="inlineStr">
        <is>
          <t>REPORTE DE LLAMADAS SALIENTES</t>
        </is>
      </c>
    </row>
    <row r="3">
      <c r="A3" s="2" t="inlineStr">
        <is>
          <t>Filtros Aplicados:</t>
        </is>
      </c>
    </row>
    <row r="4">
      <c r="A4" s="3" t="inlineStr">
        <is>
          <t>Rango de Fecha:</t>
        </is>
      </c>
      <c r="B4" s="4" t="inlineStr"/>
    </row>
    <row r="5">
      <c r="A5" s="3" t="inlineStr">
        <is>
          <t>Línea / Extensión:</t>
        </is>
      </c>
      <c r="B5" s="4" t="inlineStr"/>
    </row>
    <row r="6">
      <c r="A6" s="3" t="inlineStr">
        <is>
          <t>Total Registros (Tipo):</t>
        </is>
      </c>
      <c r="B6" s="4">
        <f>COUNTIF('Registros de Llamadas'!I2:I10000, "Saliente")</f>
        <v/>
      </c>
    </row>
    <row r="8">
      <c r="A8" s="5" t="inlineStr">
        <is>
          <t>Métrica</t>
        </is>
      </c>
      <c r="B8" s="5" t="inlineStr">
        <is>
          <t>Valor</t>
        </is>
      </c>
    </row>
    <row r="9">
      <c r="A9" s="6" t="inlineStr">
        <is>
          <t>Total Llamadas</t>
        </is>
      </c>
      <c r="B9" s="6">
        <f>COUNTIF('Registros de Llamadas'!I2:I10000, "Saliente")</f>
        <v/>
      </c>
    </row>
    <row r="10">
      <c r="A10" s="7" t="inlineStr">
        <is>
          <t>Contestadas (ANSWERED)</t>
        </is>
      </c>
      <c r="B10" s="7">
        <f>COUNTIFS('Registros de Llamadas'!H2:H10000, "ANSWERED", 'Registros de Llamadas'!I2:I10000, "Saliente")</f>
        <v/>
      </c>
    </row>
    <row r="11">
      <c r="A11" s="6" t="inlineStr">
        <is>
          <t>No Contestadas (NO ANSWER)</t>
        </is>
      </c>
      <c r="B11" s="6">
        <f>COUNTIFS('Registros de Llamadas'!H2:H10000, "NO ANSWER", 'Registros de Llamadas'!I2:I10000, "Saliente")</f>
        <v/>
      </c>
    </row>
    <row r="12">
      <c r="A12" s="7" t="inlineStr">
        <is>
          <t>Ocupadas (BUSY)</t>
        </is>
      </c>
      <c r="B12" s="7">
        <f>COUNTIFS('Registros de Llamadas'!H2:H10000, "BUSY", 'Registros de Llamadas'!I2:I10000, "Saliente")</f>
        <v/>
      </c>
    </row>
    <row r="13">
      <c r="A13" s="6" t="inlineStr">
        <is>
          <t>Fallidas (FAILED)</t>
        </is>
      </c>
      <c r="B13" s="6">
        <f>COUNTIFS('Registros de Llamadas'!H2:H10000, "FAILED", 'Registros de Llamadas'!I2:I10000, "Saliente")</f>
        <v/>
      </c>
    </row>
    <row r="14">
      <c r="A14" s="7" t="inlineStr">
        <is>
          <t>Porcentaje de Efectividad</t>
        </is>
      </c>
      <c r="B14" s="8">
        <f>IF(B9&gt;0, B10/B9, 0)</f>
        <v/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5" customWidth="1" min="3" max="3"/>
  </cols>
  <sheetData>
    <row r="1" ht="40" customHeight="1">
      <c r="A1" s="1" t="inlineStr">
        <is>
          <t>REPORTE DE LLAMADAS INTERNAS</t>
        </is>
      </c>
    </row>
    <row r="3">
      <c r="A3" s="2" t="inlineStr">
        <is>
          <t>Filtros Aplicados:</t>
        </is>
      </c>
    </row>
    <row r="4">
      <c r="A4" s="3" t="inlineStr">
        <is>
          <t>Rango de Fecha:</t>
        </is>
      </c>
      <c r="B4" s="4" t="inlineStr"/>
    </row>
    <row r="5">
      <c r="A5" s="3" t="inlineStr">
        <is>
          <t>Línea / Extensión:</t>
        </is>
      </c>
      <c r="B5" s="4" t="inlineStr"/>
    </row>
    <row r="6">
      <c r="A6" s="3" t="inlineStr">
        <is>
          <t>Total Registros (Tipo):</t>
        </is>
      </c>
      <c r="B6" s="4">
        <f>COUNTIF('Registros de Llamadas'!I2:I10000, "Interna")</f>
        <v/>
      </c>
    </row>
    <row r="8">
      <c r="A8" s="5" t="inlineStr">
        <is>
          <t>Métrica</t>
        </is>
      </c>
      <c r="B8" s="5" t="inlineStr">
        <is>
          <t>Valor</t>
        </is>
      </c>
    </row>
    <row r="9">
      <c r="A9" s="6" t="inlineStr">
        <is>
          <t>Total Llamadas</t>
        </is>
      </c>
      <c r="B9" s="6">
        <f>COUNTIF('Registros de Llamadas'!I2:I10000, "Interna")</f>
        <v/>
      </c>
    </row>
    <row r="10">
      <c r="A10" s="7" t="inlineStr">
        <is>
          <t>Contestadas (ANSWERED)</t>
        </is>
      </c>
      <c r="B10" s="7">
        <f>COUNTIFS('Registros de Llamadas'!H2:H10000, "ANSWERED", 'Registros de Llamadas'!I2:I10000, "Interna")</f>
        <v/>
      </c>
    </row>
    <row r="11">
      <c r="A11" s="6" t="inlineStr">
        <is>
          <t>No Contestadas (NO ANSWER)</t>
        </is>
      </c>
      <c r="B11" s="6">
        <f>COUNTIFS('Registros de Llamadas'!H2:H10000, "NO ANSWER", 'Registros de Llamadas'!I2:I10000, "Interna")</f>
        <v/>
      </c>
    </row>
    <row r="12">
      <c r="A12" s="7" t="inlineStr">
        <is>
          <t>Ocupadas (BUSY)</t>
        </is>
      </c>
      <c r="B12" s="7">
        <f>COUNTIFS('Registros de Llamadas'!H2:H10000, "BUSY", 'Registros de Llamadas'!I2:I10000, "Interna")</f>
        <v/>
      </c>
    </row>
    <row r="13">
      <c r="A13" s="6" t="inlineStr">
        <is>
          <t>Fallidas (FAILED)</t>
        </is>
      </c>
      <c r="B13" s="6">
        <f>COUNTIFS('Registros de Llamadas'!H2:H10000, "FAILED", 'Registros de Llamadas'!I2:I10000, "Interna")</f>
        <v/>
      </c>
    </row>
    <row r="14">
      <c r="A14" s="7" t="inlineStr">
        <is>
          <t>Porcentaje de Efectividad</t>
        </is>
      </c>
      <c r="B14" s="8">
        <f>IF(B9&gt;0, B10/B9, 0)</f>
        <v/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15" customWidth="1" min="4" max="4"/>
    <col width="20" customWidth="1" min="5" max="5"/>
    <col width="15" customWidth="1" min="6" max="6"/>
    <col width="18" customWidth="1" min="7" max="7"/>
    <col width="15" customWidth="1" min="8" max="8"/>
    <col width="18" customWidth="1" min="9" max="9"/>
  </cols>
  <sheetData>
    <row r="1" ht="25" customHeight="1">
      <c r="A1" s="9" t="inlineStr">
        <is>
          <t>ID Llamada</t>
        </is>
      </c>
      <c r="B1" s="9" t="inlineStr">
        <is>
          <t>Fecha y Hora</t>
        </is>
      </c>
      <c r="C1" s="9" t="inlineStr">
        <is>
          <t>Origen (src)</t>
        </is>
      </c>
      <c r="D1" s="9" t="inlineStr">
        <is>
          <t>Destino (dst)</t>
        </is>
      </c>
      <c r="E1" s="9" t="inlineStr">
        <is>
          <t>Extensión Destino</t>
        </is>
      </c>
      <c r="F1" s="9" t="inlineStr">
        <is>
          <t>Duración (seg)</t>
        </is>
      </c>
      <c r="G1" s="9" t="inlineStr">
        <is>
          <t>Acción</t>
        </is>
      </c>
      <c r="H1" s="9" t="inlineStr">
        <is>
          <t>Estado</t>
        </is>
      </c>
      <c r="I1" s="9" t="inlineStr">
        <is>
          <t>Tipo de Llamada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2026-07-22T16:39:58Z</dcterms:created>
  <dcterms:modified xmlns:dcterms="http://purl.org/dc/terms/" xmlns:xsi="http://www.w3.org/2001/XMLSchema-instance" xsi:type="dcterms:W3CDTF">2026-07-22T16:39:58Z</dcterms:modified>
</cp:coreProperties>
</file>